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af7d917689c61e/Desktop/DATA ANALYTICS/Excel (Module 1)/"/>
    </mc:Choice>
  </mc:AlternateContent>
  <xr:revisionPtr revIDLastSave="0" documentId="8_{09DF880D-85C7-459A-9F50-45E2DC7A0EF0}" xr6:coauthVersionLast="47" xr6:coauthVersionMax="47" xr10:uidLastSave="{00000000-0000-0000-0000-000000000000}"/>
  <bookViews>
    <workbookView xWindow="48" yWindow="684" windowWidth="22992" windowHeight="11556" activeTab="1" xr2:uid="{00000000-000D-0000-FFFF-FFFF00000000}"/>
  </bookViews>
  <sheets>
    <sheet name="Montgomery_Fleet_Equipment_Inve" sheetId="1" r:id="rId1"/>
    <sheet name="Pivot Table 1" sheetId="4" r:id="rId2"/>
    <sheet name="Pivot Table 2" sheetId="3" r:id="rId3"/>
    <sheet name="Pivot Table 3" sheetId="2" r:id="rId4"/>
  </sheets>
  <definedNames>
    <definedName name="_xlnm._FilterDatabase" localSheetId="0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7" i="1"/>
  <c r="F6" i="1"/>
  <c r="F5" i="1"/>
  <c r="F4" i="1"/>
</calcChain>
</file>

<file path=xl/sharedStrings.xml><?xml version="1.0" encoding="utf-8"?>
<sst xmlns="http://schemas.openxmlformats.org/spreadsheetml/2006/main" count="167" uniqueCount="39">
  <si>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</si>
  <si>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</si>
  <si>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</si>
  <si>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</si>
  <si>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</si>
  <si>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</si>
  <si>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</si>
  <si>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</si>
  <si>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</si>
  <si>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</si>
  <si>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</si>
  <si>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</si>
  <si>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</si>
  <si>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</si>
  <si>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</si>
  <si>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</si>
  <si>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</si>
  <si>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</si>
  <si>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</si>
  <si>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</si>
  <si>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</si>
  <si>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</si>
  <si>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</si>
  <si>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</si>
  <si>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</si>
  <si>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</si>
  <si>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</si>
  <si>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</si>
  <si>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</si>
  <si>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Statistical Measure</t>
  </si>
  <si>
    <t>Value</t>
  </si>
  <si>
    <t>Average</t>
  </si>
  <si>
    <t>Minimum</t>
  </si>
  <si>
    <t>Maximum</t>
  </si>
  <si>
    <t>Count</t>
  </si>
  <si>
    <t>Sum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</si>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</sst>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9" fillId="9" borderId="10" xfId="18" applyFont="1" applyBorder="1"/>
    <xf numFmtId="0" fontId="18" fillId="12" borderId="10" xfId="21" applyFont="1" applyBorder="1"/>
    <xf numFmtId="0" fontId="1" fillId="12" borderId="10" xfId="2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jit" refreshedDate="46286.852829050928" createdVersion="8" refreshedVersion="8" minRefreshableVersion="3" recordCount="49" xr:uid="{628F95B9-2C99-4F7F-9F77-CE7EC6B19B2F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30102-469F-49E0-B5FA-A2628D2EF86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EF479-81C4-4E81-901B-FEDCF5884DD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C3D19-D0BE-4AB6-ABF5-07B7A0ABEE9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23A87E-BB02-4CC9-81E3-163CB4A16469}" name="Table1" displayName="Table1" ref="A1:C50" totalsRowShown="0" headerRowDxfId="0">
  <autoFilter ref="A1:C50" xr:uid="{D623A87E-BB02-4CC9-81E3-163CB4A16469}"/>
  <tableColumns count="3">
    <tableColumn id="1" xr3:uid="{EDAE4569-BFC5-45CB-A9F5-E568784E1906}" name="Department"/>
    <tableColumn id="2" xr3:uid="{17BB5DF5-010E-48D1-88FC-9E788D5D5529}" name="Equipment Class"/>
    <tableColumn id="3" xr3:uid="{6F02A49A-650A-45DD-8FF4-DC962FEBCD94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zoomScaleNormal="100" workbookViewId="0">
      <selection activeCell="B16" sqref="B16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  <col min="5" max="5" width="18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</row>
    <row r="2" spans="1:6" ht="15.6" x14ac:dyDescent="0.3">
      <c r="A2" t="s">
        <v>5</v>
      </c>
      <c r="B2" t="s">
        <v>6</v>
      </c>
      <c r="C2">
        <v>21</v>
      </c>
      <c r="E2" s="2" t="s">
        <v>29</v>
      </c>
      <c r="F2" s="2" t="s">
        <v>30</v>
      </c>
    </row>
    <row r="3" spans="1:6" ht="15.6" x14ac:dyDescent="0.3">
      <c r="A3" t="s">
        <v>5</v>
      </c>
      <c r="B3" t="s">
        <v>7</v>
      </c>
      <c r="C3">
        <v>1</v>
      </c>
      <c r="E3" s="3" t="s">
        <v>35</v>
      </c>
      <c r="F3" s="4">
        <f>SUM(Table1[Equipment Count])</f>
        <v>1582</v>
      </c>
    </row>
    <row r="4" spans="1:6" ht="15.6" x14ac:dyDescent="0.3">
      <c r="A4" t="s">
        <v>5</v>
      </c>
      <c r="B4" t="s">
        <v>4</v>
      </c>
      <c r="C4">
        <v>23</v>
      </c>
      <c r="E4" s="3" t="s">
        <v>31</v>
      </c>
      <c r="F4" s="4">
        <f>AVERAGE(Table1[Equipment Count])</f>
        <v>32.285714285714285</v>
      </c>
    </row>
    <row r="5" spans="1:6" ht="15.6" x14ac:dyDescent="0.3">
      <c r="A5" t="s">
        <v>8</v>
      </c>
      <c r="B5" t="s">
        <v>4</v>
      </c>
      <c r="C5">
        <v>2</v>
      </c>
      <c r="E5" s="3" t="s">
        <v>32</v>
      </c>
      <c r="F5" s="4">
        <f>MIN(Table1[Equipment Count])</f>
        <v>1</v>
      </c>
    </row>
    <row r="6" spans="1:6" ht="15.6" x14ac:dyDescent="0.3">
      <c r="A6" t="s">
        <v>9</v>
      </c>
      <c r="B6" t="s">
        <v>6</v>
      </c>
      <c r="C6">
        <v>3</v>
      </c>
      <c r="E6" s="3" t="s">
        <v>33</v>
      </c>
      <c r="F6" s="4">
        <f>MAX(Table1[Equipment Count])</f>
        <v>379</v>
      </c>
    </row>
    <row r="7" spans="1:6" ht="15.6" x14ac:dyDescent="0.3">
      <c r="A7" t="s">
        <v>9</v>
      </c>
      <c r="B7" t="s">
        <v>10</v>
      </c>
      <c r="C7">
        <v>2</v>
      </c>
      <c r="E7" s="3" t="s">
        <v>34</v>
      </c>
      <c r="F7" s="4">
        <f>COUNT(Table1[Equipment Count])</f>
        <v>49</v>
      </c>
    </row>
    <row r="8" spans="1:6" x14ac:dyDescent="0.3">
      <c r="A8" t="s">
        <v>9</v>
      </c>
      <c r="B8" t="s">
        <v>11</v>
      </c>
      <c r="C8">
        <v>1</v>
      </c>
    </row>
    <row r="9" spans="1:6" x14ac:dyDescent="0.3">
      <c r="A9" t="s">
        <v>12</v>
      </c>
      <c r="B9" t="s">
        <v>10</v>
      </c>
      <c r="C9">
        <v>2</v>
      </c>
    </row>
    <row r="10" spans="1:6" x14ac:dyDescent="0.3">
      <c r="A10" t="s">
        <v>12</v>
      </c>
      <c r="B10" t="s">
        <v>13</v>
      </c>
      <c r="C10">
        <v>42</v>
      </c>
    </row>
    <row r="11" spans="1:6" x14ac:dyDescent="0.3">
      <c r="A11" t="s">
        <v>12</v>
      </c>
      <c r="B11" t="s">
        <v>7</v>
      </c>
      <c r="C11">
        <v>1</v>
      </c>
    </row>
    <row r="12" spans="1:6" x14ac:dyDescent="0.3">
      <c r="A12" t="s">
        <v>12</v>
      </c>
      <c r="B12" t="s">
        <v>4</v>
      </c>
      <c r="C12">
        <v>11</v>
      </c>
    </row>
    <row r="13" spans="1:6" x14ac:dyDescent="0.3">
      <c r="A13" t="s">
        <v>14</v>
      </c>
      <c r="B13" t="s">
        <v>7</v>
      </c>
      <c r="C13">
        <v>1</v>
      </c>
    </row>
    <row r="14" spans="1:6" x14ac:dyDescent="0.3">
      <c r="A14" t="s">
        <v>15</v>
      </c>
      <c r="B14" t="s">
        <v>16</v>
      </c>
      <c r="C14">
        <v>9</v>
      </c>
    </row>
    <row r="15" spans="1:6" x14ac:dyDescent="0.3">
      <c r="A15" t="s">
        <v>15</v>
      </c>
      <c r="B15" t="s">
        <v>7</v>
      </c>
      <c r="C15">
        <v>27</v>
      </c>
    </row>
    <row r="16" spans="1:6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2582-B739-4920-B8F2-3AC8B8231104}">
  <dimension ref="A3:B16"/>
  <sheetViews>
    <sheetView tabSelected="1" workbookViewId="0">
      <selection activeCell="A3" sqref="A3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t="s">
        <v>36</v>
      </c>
      <c r="B3" t="s">
        <v>38</v>
      </c>
    </row>
    <row r="4" spans="1:2" x14ac:dyDescent="0.3">
      <c r="A4" s="6" t="s">
        <v>26</v>
      </c>
      <c r="B4">
        <v>1221</v>
      </c>
    </row>
    <row r="5" spans="1:2" x14ac:dyDescent="0.3">
      <c r="A5" s="6" t="s">
        <v>15</v>
      </c>
      <c r="B5">
        <v>109</v>
      </c>
    </row>
    <row r="6" spans="1:2" x14ac:dyDescent="0.3">
      <c r="A6" s="6" t="s">
        <v>19</v>
      </c>
      <c r="B6">
        <v>85</v>
      </c>
    </row>
    <row r="7" spans="1:2" x14ac:dyDescent="0.3">
      <c r="A7" s="6" t="s">
        <v>12</v>
      </c>
      <c r="B7">
        <v>56</v>
      </c>
    </row>
    <row r="8" spans="1:2" x14ac:dyDescent="0.3">
      <c r="A8" s="6" t="s">
        <v>5</v>
      </c>
      <c r="B8">
        <v>45</v>
      </c>
    </row>
    <row r="9" spans="1:2" x14ac:dyDescent="0.3">
      <c r="A9" s="6" t="s">
        <v>18</v>
      </c>
      <c r="B9">
        <v>35</v>
      </c>
    </row>
    <row r="10" spans="1:2" x14ac:dyDescent="0.3">
      <c r="A10" s="6" t="s">
        <v>25</v>
      </c>
      <c r="B10">
        <v>16</v>
      </c>
    </row>
    <row r="11" spans="1:2" x14ac:dyDescent="0.3">
      <c r="A11" s="6" t="s">
        <v>9</v>
      </c>
      <c r="B11">
        <v>6</v>
      </c>
    </row>
    <row r="12" spans="1:2" x14ac:dyDescent="0.3">
      <c r="A12" s="6" t="s">
        <v>24</v>
      </c>
      <c r="B12">
        <v>5</v>
      </c>
    </row>
    <row r="13" spans="1:2" x14ac:dyDescent="0.3">
      <c r="A13" s="6" t="s">
        <v>8</v>
      </c>
      <c r="B13">
        <v>2</v>
      </c>
    </row>
    <row r="14" spans="1:2" x14ac:dyDescent="0.3">
      <c r="A14" s="6" t="s">
        <v>14</v>
      </c>
      <c r="B14">
        <v>1</v>
      </c>
    </row>
    <row r="15" spans="1:2" x14ac:dyDescent="0.3">
      <c r="A15" s="6" t="s">
        <v>17</v>
      </c>
      <c r="B15">
        <v>1</v>
      </c>
    </row>
    <row r="16" spans="1:2" x14ac:dyDescent="0.3">
      <c r="A16" s="6" t="s">
        <v>37</v>
      </c>
      <c r="B16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00F6-E9AF-4C41-AB63-12817F411CE3}">
  <dimension ref="A3:B25"/>
  <sheetViews>
    <sheetView workbookViewId="0">
      <selection activeCell="A15" sqref="A15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5" t="s">
        <v>36</v>
      </c>
      <c r="B3" t="s">
        <v>38</v>
      </c>
    </row>
    <row r="4" spans="1:2" x14ac:dyDescent="0.3">
      <c r="A4" s="6" t="s">
        <v>26</v>
      </c>
      <c r="B4">
        <v>1221</v>
      </c>
    </row>
    <row r="5" spans="1:2" x14ac:dyDescent="0.3">
      <c r="A5" s="7" t="s">
        <v>16</v>
      </c>
      <c r="B5">
        <v>5</v>
      </c>
    </row>
    <row r="6" spans="1:2" x14ac:dyDescent="0.3">
      <c r="A6" s="7" t="s">
        <v>13</v>
      </c>
      <c r="B6">
        <v>248</v>
      </c>
    </row>
    <row r="7" spans="1:2" x14ac:dyDescent="0.3">
      <c r="A7" s="7" t="s">
        <v>11</v>
      </c>
      <c r="B7">
        <v>98</v>
      </c>
    </row>
    <row r="8" spans="1:2" x14ac:dyDescent="0.3">
      <c r="A8" s="7" t="s">
        <v>28</v>
      </c>
      <c r="B8">
        <v>276</v>
      </c>
    </row>
    <row r="9" spans="1:2" x14ac:dyDescent="0.3">
      <c r="A9" s="7" t="s">
        <v>6</v>
      </c>
      <c r="B9">
        <v>93</v>
      </c>
    </row>
    <row r="10" spans="1:2" x14ac:dyDescent="0.3">
      <c r="A10" s="7" t="s">
        <v>4</v>
      </c>
      <c r="B10">
        <v>37</v>
      </c>
    </row>
    <row r="11" spans="1:2" x14ac:dyDescent="0.3">
      <c r="A11" s="7" t="s">
        <v>7</v>
      </c>
      <c r="B11">
        <v>53</v>
      </c>
    </row>
    <row r="12" spans="1:2" x14ac:dyDescent="0.3">
      <c r="A12" s="7" t="s">
        <v>27</v>
      </c>
      <c r="B12">
        <v>379</v>
      </c>
    </row>
    <row r="13" spans="1:2" x14ac:dyDescent="0.3">
      <c r="A13" s="7" t="s">
        <v>10</v>
      </c>
      <c r="B13">
        <v>32</v>
      </c>
    </row>
    <row r="14" spans="1:2" x14ac:dyDescent="0.3">
      <c r="A14" s="6" t="s">
        <v>15</v>
      </c>
      <c r="B14">
        <v>109</v>
      </c>
    </row>
    <row r="15" spans="1:2" x14ac:dyDescent="0.3">
      <c r="A15" s="6" t="s">
        <v>19</v>
      </c>
      <c r="B15">
        <v>85</v>
      </c>
    </row>
    <row r="16" spans="1:2" x14ac:dyDescent="0.3">
      <c r="A16" s="6" t="s">
        <v>12</v>
      </c>
      <c r="B16">
        <v>56</v>
      </c>
    </row>
    <row r="17" spans="1:2" x14ac:dyDescent="0.3">
      <c r="A17" s="6" t="s">
        <v>5</v>
      </c>
      <c r="B17">
        <v>45</v>
      </c>
    </row>
    <row r="18" spans="1:2" x14ac:dyDescent="0.3">
      <c r="A18" s="6" t="s">
        <v>18</v>
      </c>
      <c r="B18">
        <v>35</v>
      </c>
    </row>
    <row r="19" spans="1:2" x14ac:dyDescent="0.3">
      <c r="A19" s="6" t="s">
        <v>25</v>
      </c>
      <c r="B19">
        <v>16</v>
      </c>
    </row>
    <row r="20" spans="1:2" x14ac:dyDescent="0.3">
      <c r="A20" s="6" t="s">
        <v>9</v>
      </c>
      <c r="B20">
        <v>6</v>
      </c>
    </row>
    <row r="21" spans="1:2" x14ac:dyDescent="0.3">
      <c r="A21" s="6" t="s">
        <v>24</v>
      </c>
      <c r="B21">
        <v>5</v>
      </c>
    </row>
    <row r="22" spans="1:2" x14ac:dyDescent="0.3">
      <c r="A22" s="6" t="s">
        <v>8</v>
      </c>
      <c r="B22">
        <v>2</v>
      </c>
    </row>
    <row r="23" spans="1:2" x14ac:dyDescent="0.3">
      <c r="A23" s="6" t="s">
        <v>14</v>
      </c>
      <c r="B23">
        <v>1</v>
      </c>
    </row>
    <row r="24" spans="1:2" x14ac:dyDescent="0.3">
      <c r="A24" s="6" t="s">
        <v>17</v>
      </c>
      <c r="B24">
        <v>1</v>
      </c>
    </row>
    <row r="25" spans="1:2" x14ac:dyDescent="0.3">
      <c r="A25" s="6" t="s">
        <v>37</v>
      </c>
      <c r="B25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2A60-A6DA-4EE8-A3C5-832DBCAEBD39}">
  <dimension ref="A3:B21"/>
  <sheetViews>
    <sheetView workbookViewId="0">
      <selection activeCell="A20" sqref="A20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5" t="s">
        <v>36</v>
      </c>
      <c r="B3" t="s">
        <v>38</v>
      </c>
    </row>
    <row r="4" spans="1:2" x14ac:dyDescent="0.3">
      <c r="A4" s="6" t="s">
        <v>16</v>
      </c>
      <c r="B4">
        <v>15</v>
      </c>
    </row>
    <row r="5" spans="1:2" x14ac:dyDescent="0.3">
      <c r="A5" s="7" t="s">
        <v>15</v>
      </c>
      <c r="B5">
        <v>9</v>
      </c>
    </row>
    <row r="6" spans="1:2" x14ac:dyDescent="0.3">
      <c r="A6" s="7" t="s">
        <v>26</v>
      </c>
      <c r="B6">
        <v>5</v>
      </c>
    </row>
    <row r="7" spans="1:2" x14ac:dyDescent="0.3">
      <c r="A7" s="7" t="s">
        <v>25</v>
      </c>
      <c r="B7">
        <v>1</v>
      </c>
    </row>
    <row r="8" spans="1:2" x14ac:dyDescent="0.3">
      <c r="A8" s="6" t="s">
        <v>13</v>
      </c>
      <c r="B8">
        <v>290</v>
      </c>
    </row>
    <row r="9" spans="1:2" x14ac:dyDescent="0.3">
      <c r="A9" s="6" t="s">
        <v>11</v>
      </c>
      <c r="B9">
        <v>100</v>
      </c>
    </row>
    <row r="10" spans="1:2" x14ac:dyDescent="0.3">
      <c r="A10" s="6" t="s">
        <v>28</v>
      </c>
      <c r="B10">
        <v>283</v>
      </c>
    </row>
    <row r="11" spans="1:2" x14ac:dyDescent="0.3">
      <c r="A11" s="6" t="s">
        <v>6</v>
      </c>
      <c r="B11">
        <v>150</v>
      </c>
    </row>
    <row r="12" spans="1:2" x14ac:dyDescent="0.3">
      <c r="A12" s="6" t="s">
        <v>21</v>
      </c>
      <c r="B12">
        <v>4</v>
      </c>
    </row>
    <row r="13" spans="1:2" x14ac:dyDescent="0.3">
      <c r="A13" s="6" t="s">
        <v>23</v>
      </c>
      <c r="B13">
        <v>1</v>
      </c>
    </row>
    <row r="14" spans="1:2" x14ac:dyDescent="0.3">
      <c r="A14" s="6" t="s">
        <v>22</v>
      </c>
      <c r="B14">
        <v>47</v>
      </c>
    </row>
    <row r="15" spans="1:2" x14ac:dyDescent="0.3">
      <c r="A15" s="6" t="s">
        <v>3</v>
      </c>
      <c r="B15">
        <v>20</v>
      </c>
    </row>
    <row r="16" spans="1:2" x14ac:dyDescent="0.3">
      <c r="A16" s="6" t="s">
        <v>20</v>
      </c>
      <c r="B16">
        <v>8</v>
      </c>
    </row>
    <row r="17" spans="1:2" x14ac:dyDescent="0.3">
      <c r="A17" s="6" t="s">
        <v>4</v>
      </c>
      <c r="B17">
        <v>130</v>
      </c>
    </row>
    <row r="18" spans="1:2" x14ac:dyDescent="0.3">
      <c r="A18" s="6" t="s">
        <v>7</v>
      </c>
      <c r="B18">
        <v>90</v>
      </c>
    </row>
    <row r="19" spans="1:2" x14ac:dyDescent="0.3">
      <c r="A19" s="6" t="s">
        <v>27</v>
      </c>
      <c r="B19">
        <v>379</v>
      </c>
    </row>
    <row r="20" spans="1:2" x14ac:dyDescent="0.3">
      <c r="A20" s="6" t="s">
        <v>10</v>
      </c>
      <c r="B20">
        <v>65</v>
      </c>
    </row>
    <row r="21" spans="1:2" x14ac:dyDescent="0.3">
      <c r="A21" s="6" t="s">
        <v>37</v>
      </c>
      <c r="B21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Amjitha krishnan U</dc:creator>
  <cp:lastModifiedBy>Amjitha krishnan U</cp:lastModifiedBy>
  <dcterms:created xsi:type="dcterms:W3CDTF">2020-09-01T17:18:12Z</dcterms:created>
  <dcterms:modified xsi:type="dcterms:W3CDTF">2026-09-26T17:25:08Z</dcterms:modified>
</cp:coreProperties>
</file>